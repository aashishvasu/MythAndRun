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Wr\Game Stuff\Myth &amp; Run\"/>
    </mc:Choice>
  </mc:AlternateContent>
  <bookViews>
    <workbookView xWindow="0" yWindow="0" windowWidth="28800" windowHeight="12120" activeTab="2"/>
  </bookViews>
  <sheets>
    <sheet name="List" sheetId="4" r:id="rId1"/>
    <sheet name="Lore Cards" sheetId="3" r:id="rId2"/>
    <sheet name="Myth Cards" sheetId="6" r:id="rId3"/>
    <sheet name="Creatures" sheetId="7" r:id="rId4"/>
    <sheet name="Dropbox Values" sheetId="8" r:id="rId5"/>
  </sheets>
  <definedNames>
    <definedName name="Card_Type">'Dropbox Values'!$A$2:$A$3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4" l="1"/>
  <c r="F13" i="4" l="1"/>
  <c r="F12" i="4"/>
  <c r="F11" i="4"/>
  <c r="F10" i="4"/>
  <c r="B11" i="4"/>
  <c r="B10" i="4"/>
  <c r="B12" i="4" l="1"/>
  <c r="B3" i="4"/>
  <c r="B2" i="4" l="1"/>
</calcChain>
</file>

<file path=xl/sharedStrings.xml><?xml version="1.0" encoding="utf-8"?>
<sst xmlns="http://schemas.openxmlformats.org/spreadsheetml/2006/main" count="291" uniqueCount="207">
  <si>
    <t>Name</t>
  </si>
  <si>
    <t>Flavour</t>
  </si>
  <si>
    <t>Description</t>
  </si>
  <si>
    <t>Card Type</t>
  </si>
  <si>
    <t>Number</t>
  </si>
  <si>
    <t>Total:</t>
  </si>
  <si>
    <t>Importance</t>
  </si>
  <si>
    <t>Shifty Movement</t>
  </si>
  <si>
    <t>Confusion</t>
  </si>
  <si>
    <t>This card does nothing. May be used in discard abilities.</t>
  </si>
  <si>
    <t>Fool's Gold</t>
  </si>
  <si>
    <t>Low Blow</t>
  </si>
  <si>
    <t>Gust of Wind</t>
  </si>
  <si>
    <t>a</t>
  </si>
  <si>
    <t>b</t>
  </si>
  <si>
    <t>c</t>
  </si>
  <si>
    <t>Malaria</t>
  </si>
  <si>
    <t>Sandstorm</t>
  </si>
  <si>
    <t>d</t>
  </si>
  <si>
    <t>Wild Vines</t>
  </si>
  <si>
    <t>Choose a player in the Swamp; Move them 2 tiles back.</t>
  </si>
  <si>
    <t>Choose a player in the Desert; Move them 2 tiles back.</t>
  </si>
  <si>
    <t>Sand Trap</t>
  </si>
  <si>
    <t>Butterfingers</t>
  </si>
  <si>
    <t>Are you crazy?!</t>
  </si>
  <si>
    <t>Fast Switch</t>
  </si>
  <si>
    <t>Choose a player within a distance of 3 tiles. Exchange places with them. Can be used out of turn.</t>
  </si>
  <si>
    <t>Long Shot</t>
  </si>
  <si>
    <t>Metamorph</t>
  </si>
  <si>
    <t>Choose a player; They discard current creature card and draw a new one.</t>
  </si>
  <si>
    <t>Choose a player; Move them up to 6 tiles in either direction.</t>
  </si>
  <si>
    <t>So many options</t>
  </si>
  <si>
    <t>Strong wind</t>
  </si>
  <si>
    <t>Choose a player; Move them up to 2 tiles in either direction.</t>
  </si>
  <si>
    <t>That’s mine!</t>
  </si>
  <si>
    <t>Choose a player; Take one card from their hand without looking at it.</t>
  </si>
  <si>
    <t>Fair Trade</t>
  </si>
  <si>
    <t>Discard</t>
  </si>
  <si>
    <t>Burst of Speed</t>
  </si>
  <si>
    <t>Rewind</t>
  </si>
  <si>
    <t>Massacre</t>
  </si>
  <si>
    <t>Unfortunate Setback</t>
  </si>
  <si>
    <t>Brainwash</t>
  </si>
  <si>
    <t>Body Switch</t>
  </si>
  <si>
    <t>Every opponent discards their entire hand.</t>
  </si>
  <si>
    <t>Sudden Mutation</t>
  </si>
  <si>
    <t>What Just Happened?</t>
  </si>
  <si>
    <t>2X</t>
  </si>
  <si>
    <t>Movement</t>
  </si>
  <si>
    <t>Sand Snake</t>
  </si>
  <si>
    <t>Lemur</t>
  </si>
  <si>
    <t>Zippy Dragon</t>
  </si>
  <si>
    <t>Warden</t>
  </si>
  <si>
    <t>Poacher</t>
  </si>
  <si>
    <t>The Sand King</t>
  </si>
  <si>
    <t>The Sand King cannot be killed in the Desert.</t>
  </si>
  <si>
    <t>Treefolk Chief</t>
  </si>
  <si>
    <t>Treefolk Chief cannot be killed in the Swamp.</t>
  </si>
  <si>
    <t>Cackling Maniac</t>
  </si>
  <si>
    <t>At the start of your turn, flip a coin. If tails, kill yourself.</t>
  </si>
  <si>
    <t>Test of Patience</t>
  </si>
  <si>
    <t>Wandering Seraph</t>
  </si>
  <si>
    <t>Falcon Rider</t>
  </si>
  <si>
    <t>Need Rest: You may discard 2 cards. If you do, creatures without flying cannot overtake Elderly Elephant till your next turn</t>
  </si>
  <si>
    <t>Flying. Keen Reflexes: You may discard 3 cards. If you do, Falcon Rider cannot be killed till your next turn.</t>
  </si>
  <si>
    <t>Flying.</t>
  </si>
  <si>
    <t>Deadly Archer</t>
  </si>
  <si>
    <t>Steady Aim: You may discard 2 cards. If you do, kill target flying creature.</t>
  </si>
  <si>
    <t>Doomed House</t>
  </si>
  <si>
    <t>Choose a player; Exchange your hand and creature card with them. Swap places on the playing field.</t>
  </si>
  <si>
    <t>Move any number of players by up to 4 tiles in either direction.</t>
  </si>
  <si>
    <t>Cursed Wizard</t>
  </si>
  <si>
    <t>Sabre-Toothed Tiger</t>
  </si>
  <si>
    <t>Sabre-Toothed Tiger cannot approach within 3 tiles of Poacher or Elderly Elephant if any of those creatures are in front of it.</t>
  </si>
  <si>
    <t>If player is in the Desert, Sand Snake can move 3 extra tiles.</t>
  </si>
  <si>
    <t>If player is in the Swamp, Lemur can move 3 extra tiles.</t>
  </si>
  <si>
    <t>Move your player up to 20 tiles in either direction.</t>
  </si>
  <si>
    <t>Animal Magnetism</t>
  </si>
  <si>
    <t>Draw 2 cards.</t>
  </si>
  <si>
    <t>Body Swap</t>
  </si>
  <si>
    <t>Choose a player; Exchange your creature with theirs.</t>
  </si>
  <si>
    <t>Choose a player; Exchange your Trump card with theirs without looking.</t>
  </si>
  <si>
    <t>Nope.</t>
  </si>
  <si>
    <t>At the start of your turn, flip a coin. If heads, choose a player ahead of you. Randy Rhinoceros can move 2 extra tiles till you reach that player.</t>
  </si>
  <si>
    <t>Evil Twin</t>
  </si>
  <si>
    <t>Impersonate: You may discard 2 cards. If you do, choose a creature currently in play. Evil Twin becomes a copy of that creature till your next turn.</t>
  </si>
  <si>
    <t>Creatures</t>
  </si>
  <si>
    <t>Imprison: You may discard 3 cards. If you do, target player skips a turn. If the creature imprisoned is Poacher, kill it instead.</t>
  </si>
  <si>
    <t>Choose a player; Their current creature cannot use its abilities till your next turn.</t>
  </si>
  <si>
    <t>Choose a player; They cannot move for 1 turn.</t>
  </si>
  <si>
    <t>Karmic Killing</t>
  </si>
  <si>
    <t>Blockade</t>
  </si>
  <si>
    <t>Magical Recoil</t>
  </si>
  <si>
    <t>Draw a card and use it immediately. Move 2 tiles back.</t>
  </si>
  <si>
    <t>Extradimensional Help</t>
  </si>
  <si>
    <t>Choose a player; They cannot exit their current region or checkpoint till your next turn.</t>
  </si>
  <si>
    <t>Choose a player; They flip 4 coins and move forward 1 tile for each heads, and back 1 tile for each tails.</t>
  </si>
  <si>
    <t>Choose 2 cards from ONE player's hand without looking; That player discards those cards.</t>
  </si>
  <si>
    <t>Equality</t>
  </si>
  <si>
    <t>All players move two tiles back and draw two cards each.</t>
  </si>
  <si>
    <t>Adaptive Gargoyle</t>
  </si>
  <si>
    <t>Misdirection</t>
  </si>
  <si>
    <t>Choose a player; They are now the target for the ability or effect which would affect you. Can be used out of turn.</t>
  </si>
  <si>
    <t>Lost Adventurer</t>
  </si>
  <si>
    <t>Skeletal Ancestor cannot be killed. If an ability would kill Skeletal Ancestor, Skeletal Ancestor skips a turn instead.</t>
  </si>
  <si>
    <t>Teleport: You may discard 6 cards. If you do, move to any non-checkpoint tile of your choice.</t>
  </si>
  <si>
    <t>At the start of your turn, flip a coin. If heads, you can move 2 extra tiles this turn. Natural Causes: You may discard 5 cards. If you do, kill yourself.</t>
  </si>
  <si>
    <t>Hooker</t>
  </si>
  <si>
    <t>Joe</t>
  </si>
  <si>
    <t>Engineer</t>
  </si>
  <si>
    <t>Gambler</t>
  </si>
  <si>
    <t xml:space="preserve">Chameleon Mutate </t>
  </si>
  <si>
    <t>Jess Tor</t>
  </si>
  <si>
    <t>Bashful Maiden</t>
  </si>
  <si>
    <t>Bashful Maiden Can move 5 extra tiles if there are no other players on the same region as Bashful Maiden.</t>
  </si>
  <si>
    <t>Assassin</t>
  </si>
  <si>
    <t xml:space="preserve">Necromancer </t>
  </si>
  <si>
    <t>Poppy</t>
  </si>
  <si>
    <t>Coin Toss</t>
  </si>
  <si>
    <t>Unstable Elemental</t>
  </si>
  <si>
    <t>At the start of your turn, draw 2 cards.</t>
  </si>
  <si>
    <t>Deadbeat Decoy</t>
  </si>
  <si>
    <t>At the start of your turn, if there are any other players within 5 tiles, Poppy can move 3 extra tiles that turn.</t>
  </si>
  <si>
    <t xml:space="preserve">Experienced Handling: You may discard 3 cards. If you do, choose a trap within a distance of 3 tiles. Engineer may move the trap anywhere within that distance. </t>
  </si>
  <si>
    <t>Rabid Foxwolf</t>
  </si>
  <si>
    <t xml:space="preserve">Sleight of Hand: You may discard 1 card. If you do, choose a player. Exchange Deadbeat Decoy with that player's creature. </t>
  </si>
  <si>
    <t>Flying. Adaptive Gargoyle can move 2 extra tiles in the region where a majority of the players are (excluding itself).</t>
  </si>
  <si>
    <t>Death Gaze: You may discard 3 cards. If you do, kill target creature in front of you in the same checkpoint section.</t>
  </si>
  <si>
    <t xml:space="preserve">The Hook: You may discard 3 cards. If you do, choose a creature in front of you in the same checkpoint section. Whenever that player moves, move Hooker the same number of tiles in the same direction. </t>
  </si>
  <si>
    <t>Whispering Blade: You may discard  2 cards. If you do, kill target creature within a distance of 2 tiles.</t>
  </si>
  <si>
    <t xml:space="preserve">Wager: You may discard 2 cards. If you do, choose a card from your hand and flip a coin. If heads, copy that card till end of turn. If tails, discard that card. </t>
  </si>
  <si>
    <t>Serfdom: You may discard 2 cards. If you do, kill the closest Joe. If there are more than one at the same distance, kill all of them.</t>
  </si>
  <si>
    <t>Military Strategist</t>
  </si>
  <si>
    <t>Dying Mage</t>
  </si>
  <si>
    <t>At the start of your turn, all creatures within 1 tile have their movement speed cut in half for 1 turn.</t>
  </si>
  <si>
    <t>Tether: You may discard 3 cards. If you do, choose a non Flying creature ahead of you in the same checkpoint section. That creature cannot move till you reach the same tile it is on or till it dies.</t>
  </si>
  <si>
    <t>Forward Base: You may discard  5 cards. If you do, place a personal checkpoint token on the current tile. If no other checkpoints were encountered ahead, controlling player moves back to this checkpoint if killed. Discard token after 1 use.</t>
  </si>
  <si>
    <t>Arcane Net: You may discard 4 cards. If you do, add all cards discarded by players till your next turn to your hand.</t>
  </si>
  <si>
    <t>Scavenging Shaman</t>
  </si>
  <si>
    <t>At the start of your turn, flip a coin. If tails, move 2 tiles back.</t>
  </si>
  <si>
    <t>At the end of your turn, if less than 2 cards were played this turn, kill yourself.</t>
  </si>
  <si>
    <t>Move 2 extra tiles in either direction.</t>
  </si>
  <si>
    <t>Sneak</t>
  </si>
  <si>
    <t>Move 1 extra tile in either direction. Can be used out of turn</t>
  </si>
  <si>
    <t>Creatures without Flying cannot overtake Doomed House. At the end of your turn, if Doomed House has not moved, kill it. If Doomed House dies this way, kill all non Flying creatures on the same tile.</t>
  </si>
  <si>
    <t>Spell</t>
  </si>
  <si>
    <t>Trap</t>
  </si>
  <si>
    <t>Card Importance</t>
  </si>
  <si>
    <t xml:space="preserve"> </t>
  </si>
  <si>
    <t>Effect Cards</t>
  </si>
  <si>
    <t>Cancel anything which would affect your creature or player. Can be used out of turn.</t>
  </si>
  <si>
    <t>Traps</t>
  </si>
  <si>
    <t>Spells</t>
  </si>
  <si>
    <t>A</t>
  </si>
  <si>
    <t>B</t>
  </si>
  <si>
    <t>C</t>
  </si>
  <si>
    <t>D</t>
  </si>
  <si>
    <t>Unique Cards</t>
  </si>
  <si>
    <t>Choose a tile; Put a Trap Token on that tile that lasts till your next turn. Non-flying creatures cannot cross blockades.</t>
  </si>
  <si>
    <t>Trap of Chance</t>
  </si>
  <si>
    <t>Choose a tile; Put a Trap Token on that tile. When triggered, draw a card and use it immediately. If it needs a target, target triggering player.</t>
  </si>
  <si>
    <t>Hidden Catapult</t>
  </si>
  <si>
    <t>Play this trap face-down. Choose a tile; Put a Trap Token on that tile. When triggered, move triggering player back 4 tiles.</t>
  </si>
  <si>
    <t>Death Trap</t>
  </si>
  <si>
    <t>Play this trap face-down. Choose a tile; Put a Trap Token on that tile. When triggered, kill triggering player.</t>
  </si>
  <si>
    <t>ALL players discard current creature cards, and draw a new hand.</t>
  </si>
  <si>
    <t>Faulty Trap</t>
  </si>
  <si>
    <t>Choose a tile; Put a Trap Token on that tile. When triggered, triggering player flips a coin. If heads, player cannot move next turn.</t>
  </si>
  <si>
    <t>Remove one Lap token from every opponent with the same or more lap tokens than you.</t>
  </si>
  <si>
    <t>Switch Affinity: You may discard 3 cards. If you do, flip a coin. If heads, choose a region. You may move 3 extra tiles in that region.</t>
  </si>
  <si>
    <t>If a creature died, you may discard 2 cards. If you do, switch Necromancer with that creature card. Can be used out of turn.</t>
  </si>
  <si>
    <t>Starving Ogre</t>
  </si>
  <si>
    <t xml:space="preserve">Flying. Whenever Gaseous Pigeon passes another creature, you may flip a coin. If heads, kill that creature. </t>
  </si>
  <si>
    <t>Whenever another creature passes Rabid Foxwolf, you may flip a coin. If heads, kill that creature.</t>
  </si>
  <si>
    <t>Mass-querade: You may discard 4 cards. If you do, all player excluding Jess Tor give their creature card to the player on their left.</t>
  </si>
  <si>
    <t>Entitled Aristocrat</t>
  </si>
  <si>
    <t>Confused Priest</t>
  </si>
  <si>
    <t>Blind Faith: Discard 2 cards, then draw 2 cards. You can do this upto 3 times per turn.</t>
  </si>
  <si>
    <t>Durable Regional Manacles</t>
  </si>
  <si>
    <t>Moment of Doubt</t>
  </si>
  <si>
    <t>Leave Me Alone!</t>
  </si>
  <si>
    <t>Blood Frenzy</t>
  </si>
  <si>
    <t>Feeble Summoner</t>
  </si>
  <si>
    <t xml:space="preserve">Blighted Crow </t>
  </si>
  <si>
    <t>Goblin Thief</t>
  </si>
  <si>
    <t>Dull Acolyte</t>
  </si>
  <si>
    <t>Bandit of the Woods</t>
  </si>
  <si>
    <t>Maniacal Stalker</t>
  </si>
  <si>
    <t>Steal from the Rich: You may discard 2 cards. If you do, each player chooses a random card from the player to their left. Give all the chosen cards to the player with the lowest number of cards. You can do this upto 2 times per turn.</t>
  </si>
  <si>
    <t>Skeletal Fiend</t>
  </si>
  <si>
    <t>The Great One</t>
  </si>
  <si>
    <t>Devour: You may discard 4 cards. If you do, kill creature within a distance of 1 tile. If you have not moved yet, add killed creature's movement speed to Starving Ogre until end of turn.</t>
  </si>
  <si>
    <t>At the start of your turn, exile a card from your hand. This card remains exiled for the duration of the race. Unstable Elemental can move 1 extra tile for every card card exiled by all players in total.</t>
  </si>
  <si>
    <t>Kill all creatures in the Swamp.</t>
  </si>
  <si>
    <t>Kill all creatures in the Desert.</t>
  </si>
  <si>
    <t>All creatures within a distance of 7 tiles move 2 tiles closer to you.</t>
  </si>
  <si>
    <t>Choose a creature; Flip a coin, if heads, kill them if tails, kill yourself.</t>
  </si>
  <si>
    <t>Toss a coin onto the board; Kill all creatures it comes in contact with.</t>
  </si>
  <si>
    <t>Kill target creature; If it does not die, give this card to that player.</t>
  </si>
  <si>
    <t>All creatures within a distance of 2 tiles move 2 tiles away from you in their respective directions relative to you.</t>
  </si>
  <si>
    <t>Kill target creature within a distance of 8 tiles.</t>
  </si>
  <si>
    <t>Move forward 4 tiles; If you pass another creature, kill it. If no player died, skip your next turn.</t>
  </si>
  <si>
    <t>Lore</t>
  </si>
  <si>
    <t>Add one Lap to your tally.</t>
  </si>
  <si>
    <t>Move ALL players back to their checkpoints. Each player retains their creature card.</t>
  </si>
  <si>
    <t>Gift of the Divines</t>
  </si>
  <si>
    <t>Kill X target players. (X is half the number of cards discarded to play Massacre)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</si>
</sst>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0"/>
      <name val="Calibri"/>
      <family val="2"/>
      <scheme val="minor"/>
    </font>
    <font>
      <b/>
      <u/>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patternFill>
    </fill>
    <fill>
      <patternFill patternType="solid">
        <fgColor theme="4"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1" fillId="2" borderId="0" xfId="1" applyAlignment="1">
      <alignment horizontal="center"/>
    </xf>
    <xf numFmtId="0" fontId="2" fillId="0" borderId="0" xfId="0" applyFont="1"/>
    <xf numFmtId="0" fontId="0" fillId="0" borderId="0" xfId="0" applyAlignment="1">
      <alignment horizontal="right"/>
    </xf>
    <xf numFmtId="0" fontId="0" fillId="0" borderId="0" xfId="0" applyAlignment="1"/>
    <xf numFmtId="0" fontId="0" fillId="0" borderId="0" xfId="0" applyFill="1" applyAlignment="1"/>
    <xf numFmtId="0" fontId="0" fillId="0" borderId="0" xfId="0" applyFont="1" applyAlignment="1"/>
    <xf numFmtId="0" fontId="3" fillId="0" borderId="0" xfId="0" applyFont="1" applyFill="1" applyAlignment="1"/>
    <xf numFmtId="0" fontId="0" fillId="0" borderId="0" xfId="0" applyFont="1" applyFill="1" applyAlignment="1"/>
    <xf numFmtId="0" fontId="0" fillId="3" borderId="0" xfId="0" applyFill="1"/>
    <xf numFmtId="0" fontId="3" fillId="0" borderId="0" xfId="0" applyFont="1"/>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D5" sqref="D5"/>
    </sheetView>
  </sheetViews>
  <sheetFormatPr defaultRowHeight="15" x14ac:dyDescent="0.25"/>
  <cols>
    <col min="1" max="1" width="12.7109375" bestFit="1" customWidth="1"/>
    <col min="4" max="4" width="11.140625" bestFit="1" customWidth="1"/>
  </cols>
  <sheetData>
    <row r="1" spans="1:6" x14ac:dyDescent="0.25">
      <c r="A1" t="s">
        <v>3</v>
      </c>
      <c r="B1" t="s">
        <v>4</v>
      </c>
    </row>
    <row r="2" spans="1:6" x14ac:dyDescent="0.25">
      <c r="A2" t="s">
        <v>202</v>
      </c>
      <c r="B2">
        <f>SUM('Lore Cards'!D:D)</f>
        <v>164</v>
      </c>
    </row>
    <row r="3" spans="1:6" x14ac:dyDescent="0.25">
      <c r="A3" t="s">
        <v>86</v>
      </c>
      <c r="B3">
        <f>SUM(Creatures!D:D)</f>
        <v>54</v>
      </c>
    </row>
    <row r="5" spans="1:6" x14ac:dyDescent="0.25">
      <c r="C5" s="2" t="s">
        <v>5</v>
      </c>
      <c r="D5">
        <f>SUM(B2:B8)</f>
        <v>218</v>
      </c>
    </row>
    <row r="9" spans="1:6" x14ac:dyDescent="0.25">
      <c r="A9" s="10" t="s">
        <v>149</v>
      </c>
    </row>
    <row r="10" spans="1:6" x14ac:dyDescent="0.25">
      <c r="A10" t="s">
        <v>152</v>
      </c>
      <c r="B10">
        <f>COUNTIF('Lore Cards'!F:F,'Dropbox Values'!A2)</f>
        <v>31</v>
      </c>
      <c r="D10" t="s">
        <v>6</v>
      </c>
      <c r="E10" t="s">
        <v>153</v>
      </c>
      <c r="F10">
        <f>COUNTIF('Lore Cards'!C:C,'Dropbox Values'!B2)</f>
        <v>13</v>
      </c>
    </row>
    <row r="11" spans="1:6" x14ac:dyDescent="0.25">
      <c r="A11" t="s">
        <v>151</v>
      </c>
      <c r="B11">
        <f>COUNTIF('Lore Cards'!F:F,'Dropbox Values'!A3)</f>
        <v>5</v>
      </c>
      <c r="E11" t="s">
        <v>154</v>
      </c>
      <c r="F11">
        <f>COUNTIF('Lore Cards'!C:C,'Dropbox Values'!B3)</f>
        <v>11</v>
      </c>
    </row>
    <row r="12" spans="1:6" x14ac:dyDescent="0.25">
      <c r="A12" t="s">
        <v>157</v>
      </c>
      <c r="B12">
        <f>SUM(B10:B11)</f>
        <v>36</v>
      </c>
      <c r="E12" t="s">
        <v>155</v>
      </c>
      <c r="F12">
        <f>COUNTIF('Lore Cards'!C:C,'Dropbox Values'!B4)</f>
        <v>7</v>
      </c>
    </row>
    <row r="13" spans="1:6" x14ac:dyDescent="0.25">
      <c r="E13" t="s">
        <v>156</v>
      </c>
      <c r="F13">
        <f>COUNTIF('Lore Cards'!C:C,'Dropbox Values'!B5)</f>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zoomScale="90" zoomScaleNormal="90" workbookViewId="0">
      <selection activeCell="B38" sqref="B38"/>
    </sheetView>
  </sheetViews>
  <sheetFormatPr defaultRowHeight="15" x14ac:dyDescent="0.25"/>
  <cols>
    <col min="1" max="1" width="25.7109375" bestFit="1" customWidth="1"/>
    <col min="2" max="2" width="135.85546875" bestFit="1" customWidth="1"/>
    <col min="3" max="3" width="10" bestFit="1" customWidth="1"/>
    <col min="4" max="4" width="7.42578125" bestFit="1" customWidth="1"/>
  </cols>
  <sheetData>
    <row r="1" spans="1:6" s="1" customFormat="1" x14ac:dyDescent="0.25">
      <c r="A1" s="1" t="s">
        <v>0</v>
      </c>
      <c r="B1" s="1" t="s">
        <v>2</v>
      </c>
      <c r="C1" s="1" t="s">
        <v>6</v>
      </c>
      <c r="D1" s="1" t="s">
        <v>4</v>
      </c>
      <c r="E1" s="1" t="s">
        <v>1</v>
      </c>
      <c r="F1" s="1" t="s">
        <v>3</v>
      </c>
    </row>
    <row r="2" spans="1:6" x14ac:dyDescent="0.25">
      <c r="A2" t="s">
        <v>16</v>
      </c>
      <c r="B2" t="s">
        <v>193</v>
      </c>
      <c r="C2" t="s">
        <v>18</v>
      </c>
      <c r="D2">
        <v>2</v>
      </c>
      <c r="F2" t="s">
        <v>145</v>
      </c>
    </row>
    <row r="3" spans="1:6" x14ac:dyDescent="0.25">
      <c r="A3" t="s">
        <v>17</v>
      </c>
      <c r="B3" t="s">
        <v>194</v>
      </c>
      <c r="C3" t="s">
        <v>18</v>
      </c>
      <c r="D3">
        <v>2</v>
      </c>
      <c r="F3" t="s">
        <v>145</v>
      </c>
    </row>
    <row r="4" spans="1:6" x14ac:dyDescent="0.25">
      <c r="A4" t="s">
        <v>77</v>
      </c>
      <c r="B4" t="s">
        <v>195</v>
      </c>
      <c r="C4" t="s">
        <v>14</v>
      </c>
      <c r="D4">
        <v>4</v>
      </c>
      <c r="F4" t="s">
        <v>145</v>
      </c>
    </row>
    <row r="5" spans="1:6" x14ac:dyDescent="0.25">
      <c r="A5" t="s">
        <v>24</v>
      </c>
      <c r="B5" t="s">
        <v>196</v>
      </c>
      <c r="C5" t="s">
        <v>13</v>
      </c>
      <c r="D5">
        <v>4</v>
      </c>
      <c r="F5" t="s">
        <v>145</v>
      </c>
    </row>
    <row r="6" spans="1:6" x14ac:dyDescent="0.25">
      <c r="A6" t="s">
        <v>91</v>
      </c>
      <c r="B6" t="s">
        <v>158</v>
      </c>
      <c r="C6" t="s">
        <v>13</v>
      </c>
      <c r="D6">
        <v>4</v>
      </c>
      <c r="F6" t="s">
        <v>146</v>
      </c>
    </row>
    <row r="7" spans="1:6" x14ac:dyDescent="0.25">
      <c r="A7" t="s">
        <v>79</v>
      </c>
      <c r="B7" t="s">
        <v>80</v>
      </c>
      <c r="C7" t="s">
        <v>15</v>
      </c>
      <c r="D7">
        <v>4</v>
      </c>
      <c r="F7" t="s">
        <v>145</v>
      </c>
    </row>
    <row r="8" spans="1:6" x14ac:dyDescent="0.25">
      <c r="A8" t="s">
        <v>23</v>
      </c>
      <c r="B8" t="s">
        <v>97</v>
      </c>
      <c r="C8" t="s">
        <v>13</v>
      </c>
      <c r="D8">
        <v>4</v>
      </c>
      <c r="F8" t="s">
        <v>145</v>
      </c>
    </row>
    <row r="9" spans="1:6" x14ac:dyDescent="0.25">
      <c r="A9" t="s">
        <v>8</v>
      </c>
      <c r="B9" t="s">
        <v>96</v>
      </c>
      <c r="C9" t="s">
        <v>14</v>
      </c>
      <c r="D9">
        <v>4</v>
      </c>
      <c r="F9" t="s">
        <v>145</v>
      </c>
    </row>
    <row r="10" spans="1:6" x14ac:dyDescent="0.25">
      <c r="A10" t="s">
        <v>163</v>
      </c>
      <c r="B10" t="s">
        <v>164</v>
      </c>
      <c r="C10" t="s">
        <v>18</v>
      </c>
      <c r="D10">
        <v>4</v>
      </c>
      <c r="F10" t="s">
        <v>146</v>
      </c>
    </row>
    <row r="11" spans="1:6" x14ac:dyDescent="0.25">
      <c r="A11" t="s">
        <v>178</v>
      </c>
      <c r="B11" t="s">
        <v>95</v>
      </c>
      <c r="C11" t="s">
        <v>13</v>
      </c>
      <c r="D11">
        <v>4</v>
      </c>
      <c r="F11" t="s">
        <v>145</v>
      </c>
    </row>
    <row r="12" spans="1:6" x14ac:dyDescent="0.25">
      <c r="A12" t="s">
        <v>98</v>
      </c>
      <c r="B12" t="s">
        <v>99</v>
      </c>
      <c r="C12" t="s">
        <v>13</v>
      </c>
      <c r="D12">
        <v>4</v>
      </c>
      <c r="F12" t="s">
        <v>145</v>
      </c>
    </row>
    <row r="13" spans="1:6" x14ac:dyDescent="0.25">
      <c r="A13" t="s">
        <v>94</v>
      </c>
      <c r="B13" t="s">
        <v>197</v>
      </c>
      <c r="C13" t="s">
        <v>18</v>
      </c>
      <c r="D13">
        <v>4</v>
      </c>
      <c r="F13" t="s">
        <v>145</v>
      </c>
    </row>
    <row r="14" spans="1:6" x14ac:dyDescent="0.25">
      <c r="A14" t="s">
        <v>36</v>
      </c>
      <c r="B14" t="s">
        <v>81</v>
      </c>
      <c r="C14" t="s">
        <v>15</v>
      </c>
      <c r="D14">
        <v>4</v>
      </c>
      <c r="F14" t="s">
        <v>145</v>
      </c>
    </row>
    <row r="15" spans="1:6" x14ac:dyDescent="0.25">
      <c r="A15" t="s">
        <v>25</v>
      </c>
      <c r="B15" t="s">
        <v>26</v>
      </c>
      <c r="C15" t="s">
        <v>14</v>
      </c>
      <c r="D15">
        <v>4</v>
      </c>
      <c r="F15" t="s">
        <v>145</v>
      </c>
    </row>
    <row r="16" spans="1:6" x14ac:dyDescent="0.25">
      <c r="A16" t="s">
        <v>12</v>
      </c>
      <c r="B16" t="s">
        <v>30</v>
      </c>
      <c r="C16" t="s">
        <v>14</v>
      </c>
      <c r="D16">
        <v>4</v>
      </c>
      <c r="F16" t="s">
        <v>145</v>
      </c>
    </row>
    <row r="17" spans="1:6" x14ac:dyDescent="0.25">
      <c r="A17" t="s">
        <v>161</v>
      </c>
      <c r="B17" t="s">
        <v>162</v>
      </c>
      <c r="C17" t="s">
        <v>13</v>
      </c>
      <c r="D17">
        <v>4</v>
      </c>
      <c r="F17" t="s">
        <v>146</v>
      </c>
    </row>
    <row r="18" spans="1:6" x14ac:dyDescent="0.25">
      <c r="A18" t="s">
        <v>90</v>
      </c>
      <c r="B18" t="s">
        <v>198</v>
      </c>
      <c r="C18" t="s">
        <v>15</v>
      </c>
      <c r="D18">
        <v>4</v>
      </c>
      <c r="F18" t="s">
        <v>145</v>
      </c>
    </row>
    <row r="19" spans="1:6" x14ac:dyDescent="0.25">
      <c r="A19" t="s">
        <v>180</v>
      </c>
      <c r="B19" t="s">
        <v>199</v>
      </c>
      <c r="C19" t="s">
        <v>14</v>
      </c>
      <c r="D19">
        <v>4</v>
      </c>
      <c r="F19" t="s">
        <v>145</v>
      </c>
    </row>
    <row r="20" spans="1:6" x14ac:dyDescent="0.25">
      <c r="A20" t="s">
        <v>27</v>
      </c>
      <c r="B20" t="s">
        <v>200</v>
      </c>
      <c r="C20" t="s">
        <v>15</v>
      </c>
      <c r="D20">
        <v>4</v>
      </c>
      <c r="F20" t="s">
        <v>145</v>
      </c>
    </row>
    <row r="21" spans="1:6" x14ac:dyDescent="0.25">
      <c r="A21" t="s">
        <v>11</v>
      </c>
      <c r="B21" t="s">
        <v>89</v>
      </c>
      <c r="C21" t="s">
        <v>15</v>
      </c>
      <c r="D21">
        <v>4</v>
      </c>
      <c r="F21" t="s">
        <v>145</v>
      </c>
    </row>
    <row r="22" spans="1:6" x14ac:dyDescent="0.25">
      <c r="A22" t="s">
        <v>92</v>
      </c>
      <c r="B22" t="s">
        <v>93</v>
      </c>
      <c r="C22" t="s">
        <v>14</v>
      </c>
      <c r="D22">
        <v>4</v>
      </c>
      <c r="F22" t="s">
        <v>145</v>
      </c>
    </row>
    <row r="23" spans="1:6" x14ac:dyDescent="0.25">
      <c r="A23" t="s">
        <v>28</v>
      </c>
      <c r="B23" t="s">
        <v>29</v>
      </c>
      <c r="C23" t="s">
        <v>15</v>
      </c>
      <c r="D23">
        <v>4</v>
      </c>
      <c r="F23" t="s">
        <v>145</v>
      </c>
    </row>
    <row r="24" spans="1:6" x14ac:dyDescent="0.25">
      <c r="A24" t="s">
        <v>101</v>
      </c>
      <c r="B24" t="s">
        <v>102</v>
      </c>
      <c r="C24" t="s">
        <v>14</v>
      </c>
      <c r="D24">
        <v>4</v>
      </c>
      <c r="F24" t="s">
        <v>145</v>
      </c>
    </row>
    <row r="25" spans="1:6" x14ac:dyDescent="0.25">
      <c r="A25" t="s">
        <v>179</v>
      </c>
      <c r="B25" t="s">
        <v>88</v>
      </c>
      <c r="C25" t="s">
        <v>14</v>
      </c>
      <c r="D25">
        <v>4</v>
      </c>
      <c r="F25" t="s">
        <v>145</v>
      </c>
    </row>
    <row r="26" spans="1:6" x14ac:dyDescent="0.25">
      <c r="A26" t="s">
        <v>181</v>
      </c>
      <c r="B26" t="s">
        <v>201</v>
      </c>
      <c r="C26" t="s">
        <v>18</v>
      </c>
      <c r="D26">
        <v>4</v>
      </c>
      <c r="F26" t="s">
        <v>145</v>
      </c>
    </row>
    <row r="27" spans="1:6" x14ac:dyDescent="0.25">
      <c r="A27" t="s">
        <v>22</v>
      </c>
      <c r="B27" t="s">
        <v>21</v>
      </c>
      <c r="C27" t="s">
        <v>13</v>
      </c>
      <c r="D27">
        <v>4</v>
      </c>
      <c r="F27" t="s">
        <v>145</v>
      </c>
    </row>
    <row r="28" spans="1:6" x14ac:dyDescent="0.25">
      <c r="A28" t="s">
        <v>142</v>
      </c>
      <c r="B28" t="s">
        <v>143</v>
      </c>
      <c r="C28" t="s">
        <v>13</v>
      </c>
      <c r="D28">
        <v>4</v>
      </c>
      <c r="F28" t="s">
        <v>145</v>
      </c>
    </row>
    <row r="29" spans="1:6" x14ac:dyDescent="0.25">
      <c r="A29" t="s">
        <v>32</v>
      </c>
      <c r="B29" t="s">
        <v>33</v>
      </c>
      <c r="C29" t="s">
        <v>13</v>
      </c>
      <c r="D29">
        <v>4</v>
      </c>
      <c r="F29" t="s">
        <v>145</v>
      </c>
    </row>
    <row r="30" spans="1:6" x14ac:dyDescent="0.25">
      <c r="A30" t="s">
        <v>34</v>
      </c>
      <c r="B30" t="s">
        <v>35</v>
      </c>
      <c r="C30" t="s">
        <v>14</v>
      </c>
      <c r="D30">
        <v>4</v>
      </c>
      <c r="F30" t="s">
        <v>145</v>
      </c>
    </row>
    <row r="31" spans="1:6" x14ac:dyDescent="0.25">
      <c r="A31" t="s">
        <v>159</v>
      </c>
      <c r="B31" t="s">
        <v>160</v>
      </c>
      <c r="C31" t="s">
        <v>15</v>
      </c>
      <c r="D31">
        <v>4</v>
      </c>
      <c r="F31" t="s">
        <v>146</v>
      </c>
    </row>
    <row r="32" spans="1:6" x14ac:dyDescent="0.25">
      <c r="A32" t="s">
        <v>19</v>
      </c>
      <c r="B32" t="s">
        <v>20</v>
      </c>
      <c r="C32" t="s">
        <v>13</v>
      </c>
      <c r="D32">
        <v>4</v>
      </c>
      <c r="F32" t="s">
        <v>145</v>
      </c>
    </row>
    <row r="33" spans="1:6" x14ac:dyDescent="0.25">
      <c r="A33" t="s">
        <v>166</v>
      </c>
      <c r="B33" t="s">
        <v>167</v>
      </c>
      <c r="C33" t="s">
        <v>14</v>
      </c>
      <c r="D33">
        <v>8</v>
      </c>
      <c r="F33" t="s">
        <v>146</v>
      </c>
    </row>
    <row r="34" spans="1:6" x14ac:dyDescent="0.25">
      <c r="A34" t="s">
        <v>10</v>
      </c>
      <c r="B34" t="s">
        <v>9</v>
      </c>
      <c r="C34" t="s">
        <v>13</v>
      </c>
      <c r="D34">
        <v>8</v>
      </c>
      <c r="F34" t="s">
        <v>145</v>
      </c>
    </row>
    <row r="35" spans="1:6" x14ac:dyDescent="0.25">
      <c r="A35" t="s">
        <v>7</v>
      </c>
      <c r="B35" t="s">
        <v>141</v>
      </c>
      <c r="C35" t="s">
        <v>13</v>
      </c>
      <c r="D35">
        <v>8</v>
      </c>
      <c r="F35" t="s">
        <v>145</v>
      </c>
    </row>
    <row r="36" spans="1:6" x14ac:dyDescent="0.25">
      <c r="A36" t="s">
        <v>31</v>
      </c>
      <c r="B36" t="s">
        <v>78</v>
      </c>
      <c r="C36" t="s">
        <v>13</v>
      </c>
      <c r="D36">
        <v>8</v>
      </c>
      <c r="F36" t="s">
        <v>145</v>
      </c>
    </row>
    <row r="37" spans="1:6" x14ac:dyDescent="0.25">
      <c r="A37" t="s">
        <v>82</v>
      </c>
      <c r="B37" t="s">
        <v>150</v>
      </c>
      <c r="C37" t="s">
        <v>14</v>
      </c>
      <c r="D37">
        <v>12</v>
      </c>
      <c r="F37" t="s">
        <v>145</v>
      </c>
    </row>
  </sheetData>
  <sortState ref="A2:F37">
    <sortCondition ref="D1"/>
  </sortState>
  <dataValidations count="1">
    <dataValidation type="list" allowBlank="1" showInputMessage="1" showErrorMessage="1" sqref="F2:F83">
      <formula1>Card_Type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'Dropbox Values'!$B$2:$B$5</xm:f>
          </x14:formula1>
          <xm:sqref>C2:C80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abSelected="1" zoomScale="82" zoomScaleNormal="82" workbookViewId="0">
      <selection activeCell="A10" sqref="A10"/>
    </sheetView>
  </sheetViews>
  <sheetFormatPr defaultColWidth="9" defaultRowHeight="15" x14ac:dyDescent="0.25"/>
  <cols>
    <col min="1" max="1" width="22.28515625" style="4" bestFit="1" customWidth="1"/>
    <col min="2" max="2" width="91.42578125" style="4" bestFit="1" customWidth="1"/>
    <col min="3" max="3" width="9" style="3"/>
    <col min="4" max="16384" width="9" style="4"/>
  </cols>
  <sheetData>
    <row r="1" spans="1:4" s="1" customFormat="1" x14ac:dyDescent="0.25">
      <c r="A1" s="1" t="s">
        <v>0</v>
      </c>
      <c r="B1" s="1" t="s">
        <v>2</v>
      </c>
      <c r="C1" s="1" t="s">
        <v>37</v>
      </c>
      <c r="D1" s="1" t="s">
        <v>1</v>
      </c>
    </row>
    <row r="2" spans="1:4" x14ac:dyDescent="0.25">
      <c r="A2" s="4" t="s">
        <v>43</v>
      </c>
      <c r="B2" s="4" t="s">
        <v>69</v>
      </c>
      <c r="C2" s="3">
        <v>8</v>
      </c>
    </row>
    <row r="3" spans="1:4" x14ac:dyDescent="0.25">
      <c r="A3" s="4" t="s">
        <v>42</v>
      </c>
      <c r="B3" s="4" t="s">
        <v>44</v>
      </c>
      <c r="C3" s="3">
        <v>7</v>
      </c>
    </row>
    <row r="4" spans="1:4" x14ac:dyDescent="0.25">
      <c r="A4" s="4" t="s">
        <v>38</v>
      </c>
      <c r="B4" s="4" t="s">
        <v>76</v>
      </c>
      <c r="C4" s="3">
        <v>6</v>
      </c>
    </row>
    <row r="5" spans="1:4" x14ac:dyDescent="0.25">
      <c r="A5" s="4" t="s">
        <v>205</v>
      </c>
      <c r="B5" s="4" t="s">
        <v>203</v>
      </c>
      <c r="C5" s="3">
        <v>10</v>
      </c>
    </row>
    <row r="6" spans="1:4" x14ac:dyDescent="0.25">
      <c r="A6" s="4" t="s">
        <v>40</v>
      </c>
      <c r="B6" s="4" t="s">
        <v>206</v>
      </c>
      <c r="C6" s="3" t="s">
        <v>47</v>
      </c>
    </row>
    <row r="7" spans="1:4" x14ac:dyDescent="0.25">
      <c r="A7" s="4" t="s">
        <v>39</v>
      </c>
      <c r="B7" s="4" t="s">
        <v>204</v>
      </c>
      <c r="C7" s="3">
        <v>7</v>
      </c>
    </row>
    <row r="8" spans="1:4" x14ac:dyDescent="0.25">
      <c r="A8" s="4" t="s">
        <v>45</v>
      </c>
      <c r="B8" s="4" t="s">
        <v>165</v>
      </c>
      <c r="C8" s="3">
        <v>5</v>
      </c>
    </row>
    <row r="9" spans="1:4" x14ac:dyDescent="0.25">
      <c r="A9" s="4" t="s">
        <v>41</v>
      </c>
      <c r="B9" s="4" t="s">
        <v>168</v>
      </c>
      <c r="C9" s="3">
        <v>9</v>
      </c>
    </row>
    <row r="10" spans="1:4" x14ac:dyDescent="0.25">
      <c r="A10" s="4" t="s">
        <v>46</v>
      </c>
      <c r="B10" s="4" t="s">
        <v>70</v>
      </c>
      <c r="C10" s="3">
        <v>8</v>
      </c>
    </row>
  </sheetData>
  <sortState ref="A2:D10">
    <sortCondition ref="A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opLeftCell="A13" zoomScale="90" zoomScaleNormal="90" workbookViewId="0">
      <selection activeCell="C7" sqref="C7"/>
    </sheetView>
  </sheetViews>
  <sheetFormatPr defaultColWidth="9" defaultRowHeight="15" x14ac:dyDescent="0.25"/>
  <cols>
    <col min="1" max="1" width="21" style="4" bestFit="1" customWidth="1"/>
    <col min="2" max="2" width="215.85546875" style="4" bestFit="1" customWidth="1"/>
    <col min="3" max="3" width="10.7109375" style="4" customWidth="1"/>
    <col min="4" max="4" width="11.85546875" style="4" customWidth="1"/>
    <col min="5" max="5" width="7.5703125" style="4" bestFit="1" customWidth="1"/>
    <col min="6" max="6" width="9.28515625" style="4" bestFit="1" customWidth="1"/>
    <col min="7" max="16384" width="9" style="4"/>
  </cols>
  <sheetData>
    <row r="1" spans="1:6" s="1" customFormat="1" x14ac:dyDescent="0.25">
      <c r="A1" s="1" t="s">
        <v>0</v>
      </c>
      <c r="B1" s="1" t="s">
        <v>2</v>
      </c>
      <c r="C1" s="1" t="s">
        <v>48</v>
      </c>
      <c r="D1" s="1" t="s">
        <v>4</v>
      </c>
      <c r="E1" s="1" t="s">
        <v>1</v>
      </c>
      <c r="F1" s="1" t="s">
        <v>118</v>
      </c>
    </row>
    <row r="2" spans="1:6" s="8" customFormat="1" x14ac:dyDescent="0.25">
      <c r="A2" s="5" t="s">
        <v>100</v>
      </c>
      <c r="B2" s="5" t="s">
        <v>126</v>
      </c>
      <c r="C2" s="5">
        <v>5</v>
      </c>
      <c r="D2" s="5">
        <v>1</v>
      </c>
      <c r="E2" s="5"/>
      <c r="F2" s="5">
        <v>0</v>
      </c>
    </row>
    <row r="3" spans="1:6" x14ac:dyDescent="0.25">
      <c r="A3" s="4" t="s">
        <v>115</v>
      </c>
      <c r="B3" s="4" t="s">
        <v>129</v>
      </c>
      <c r="C3" s="4">
        <v>5</v>
      </c>
      <c r="D3" s="4">
        <v>1</v>
      </c>
      <c r="F3" s="5">
        <v>0</v>
      </c>
    </row>
    <row r="4" spans="1:6" x14ac:dyDescent="0.25">
      <c r="A4" s="5" t="s">
        <v>186</v>
      </c>
      <c r="B4" s="5" t="s">
        <v>188</v>
      </c>
      <c r="C4" s="5">
        <v>4</v>
      </c>
      <c r="D4" s="5">
        <v>1</v>
      </c>
      <c r="E4" s="5"/>
      <c r="F4" s="5">
        <v>0</v>
      </c>
    </row>
    <row r="5" spans="1:6" x14ac:dyDescent="0.25">
      <c r="A5" s="5" t="s">
        <v>113</v>
      </c>
      <c r="B5" s="5" t="s">
        <v>114</v>
      </c>
      <c r="C5" s="5">
        <v>3</v>
      </c>
      <c r="D5" s="5">
        <v>1</v>
      </c>
      <c r="E5" s="5"/>
      <c r="F5" s="5">
        <v>0</v>
      </c>
    </row>
    <row r="6" spans="1:6" x14ac:dyDescent="0.25">
      <c r="A6" s="4" t="s">
        <v>183</v>
      </c>
      <c r="B6" s="4" t="s">
        <v>172</v>
      </c>
      <c r="C6" s="4">
        <v>4</v>
      </c>
      <c r="D6" s="4">
        <v>1</v>
      </c>
      <c r="F6" s="6">
        <v>1</v>
      </c>
    </row>
    <row r="7" spans="1:6" x14ac:dyDescent="0.25">
      <c r="A7" s="4" t="s">
        <v>58</v>
      </c>
      <c r="B7" s="4" t="s">
        <v>59</v>
      </c>
      <c r="C7" s="4">
        <v>11</v>
      </c>
      <c r="D7" s="4">
        <v>1</v>
      </c>
      <c r="F7" s="5">
        <v>1</v>
      </c>
    </row>
    <row r="8" spans="1:6" s="5" customFormat="1" x14ac:dyDescent="0.25">
      <c r="A8" s="4" t="s">
        <v>111</v>
      </c>
      <c r="B8" s="4" t="s">
        <v>169</v>
      </c>
      <c r="C8" s="4">
        <v>3</v>
      </c>
      <c r="D8" s="4">
        <v>1</v>
      </c>
      <c r="E8" s="4"/>
      <c r="F8" s="4">
        <v>1</v>
      </c>
    </row>
    <row r="9" spans="1:6" x14ac:dyDescent="0.25">
      <c r="A9" s="4" t="s">
        <v>176</v>
      </c>
      <c r="B9" s="4" t="s">
        <v>177</v>
      </c>
      <c r="C9" s="4">
        <v>7</v>
      </c>
      <c r="D9" s="4">
        <v>1</v>
      </c>
      <c r="F9" s="5">
        <v>0</v>
      </c>
    </row>
    <row r="10" spans="1:6" s="5" customFormat="1" x14ac:dyDescent="0.25">
      <c r="A10" s="5" t="s">
        <v>71</v>
      </c>
      <c r="B10" s="5" t="s">
        <v>127</v>
      </c>
      <c r="C10" s="5">
        <v>5</v>
      </c>
      <c r="D10" s="5">
        <v>1</v>
      </c>
      <c r="F10" s="5">
        <v>0</v>
      </c>
    </row>
    <row r="11" spans="1:6" x14ac:dyDescent="0.25">
      <c r="A11" s="4" t="s">
        <v>121</v>
      </c>
      <c r="B11" s="4" t="s">
        <v>125</v>
      </c>
      <c r="C11" s="4">
        <v>3</v>
      </c>
      <c r="D11" s="4">
        <v>1</v>
      </c>
      <c r="F11" s="5">
        <v>0</v>
      </c>
    </row>
    <row r="12" spans="1:6" x14ac:dyDescent="0.25">
      <c r="A12" s="4" t="s">
        <v>66</v>
      </c>
      <c r="B12" s="4" t="s">
        <v>67</v>
      </c>
      <c r="C12" s="4">
        <v>5</v>
      </c>
      <c r="D12" s="4">
        <v>1</v>
      </c>
      <c r="F12" s="5">
        <v>0</v>
      </c>
    </row>
    <row r="13" spans="1:6" x14ac:dyDescent="0.25">
      <c r="A13" s="8" t="s">
        <v>68</v>
      </c>
      <c r="B13" s="8" t="s">
        <v>144</v>
      </c>
      <c r="C13" s="8">
        <v>0</v>
      </c>
      <c r="D13" s="8">
        <v>1</v>
      </c>
      <c r="E13" s="8"/>
      <c r="F13" s="8">
        <v>0</v>
      </c>
    </row>
    <row r="14" spans="1:6" x14ac:dyDescent="0.25">
      <c r="A14" s="4" t="s">
        <v>185</v>
      </c>
      <c r="B14" s="4" t="s">
        <v>134</v>
      </c>
      <c r="C14" s="4">
        <v>5</v>
      </c>
      <c r="D14" s="4">
        <v>1</v>
      </c>
      <c r="F14" s="5">
        <v>0</v>
      </c>
    </row>
    <row r="15" spans="1:6" x14ac:dyDescent="0.25">
      <c r="A15" s="4" t="s">
        <v>133</v>
      </c>
      <c r="B15" s="4" t="s">
        <v>140</v>
      </c>
      <c r="C15" s="4">
        <v>6</v>
      </c>
      <c r="D15" s="4">
        <v>1</v>
      </c>
      <c r="F15" s="5">
        <v>0</v>
      </c>
    </row>
    <row r="16" spans="1:6" s="7" customFormat="1" x14ac:dyDescent="0.25">
      <c r="A16" s="4" t="s">
        <v>109</v>
      </c>
      <c r="B16" s="4" t="s">
        <v>123</v>
      </c>
      <c r="C16" s="4">
        <v>4</v>
      </c>
      <c r="D16" s="4">
        <v>1</v>
      </c>
      <c r="E16" s="4"/>
      <c r="F16" s="5">
        <v>0</v>
      </c>
    </row>
    <row r="17" spans="1:6" x14ac:dyDescent="0.25">
      <c r="A17" s="4" t="s">
        <v>175</v>
      </c>
      <c r="B17" s="4" t="s">
        <v>131</v>
      </c>
      <c r="C17" s="4">
        <v>5</v>
      </c>
      <c r="D17" s="4">
        <v>1</v>
      </c>
      <c r="F17" s="5">
        <v>0</v>
      </c>
    </row>
    <row r="18" spans="1:6" s="5" customFormat="1" x14ac:dyDescent="0.25">
      <c r="A18" s="4" t="s">
        <v>84</v>
      </c>
      <c r="B18" s="4" t="s">
        <v>85</v>
      </c>
      <c r="C18" s="4">
        <v>5</v>
      </c>
      <c r="D18" s="4">
        <v>1</v>
      </c>
      <c r="E18" s="4"/>
      <c r="F18" s="5">
        <v>0</v>
      </c>
    </row>
    <row r="19" spans="1:6" x14ac:dyDescent="0.25">
      <c r="A19" s="4" t="s">
        <v>62</v>
      </c>
      <c r="B19" s="4" t="s">
        <v>64</v>
      </c>
      <c r="C19" s="4">
        <v>6</v>
      </c>
      <c r="D19" s="4">
        <v>1</v>
      </c>
      <c r="F19" s="5">
        <v>0</v>
      </c>
    </row>
    <row r="20" spans="1:6" x14ac:dyDescent="0.25">
      <c r="A20" s="4" t="s">
        <v>182</v>
      </c>
      <c r="B20" s="4" t="s">
        <v>63</v>
      </c>
      <c r="C20" s="4">
        <v>5</v>
      </c>
      <c r="D20" s="4">
        <v>1</v>
      </c>
      <c r="F20" s="5">
        <v>0</v>
      </c>
    </row>
    <row r="21" spans="1:6" x14ac:dyDescent="0.25">
      <c r="A21" s="4" t="s">
        <v>110</v>
      </c>
      <c r="B21" s="4" t="s">
        <v>130</v>
      </c>
      <c r="C21" s="4">
        <v>5</v>
      </c>
      <c r="D21" s="4">
        <v>1</v>
      </c>
      <c r="F21" s="5">
        <v>1</v>
      </c>
    </row>
    <row r="22" spans="1:6" x14ac:dyDescent="0.25">
      <c r="A22" s="4" t="s">
        <v>184</v>
      </c>
      <c r="B22" s="4" t="s">
        <v>120</v>
      </c>
      <c r="C22" s="4">
        <v>2</v>
      </c>
      <c r="D22" s="4">
        <v>1</v>
      </c>
      <c r="F22" s="4">
        <v>0</v>
      </c>
    </row>
    <row r="23" spans="1:6" x14ac:dyDescent="0.25">
      <c r="A23" s="4" t="s">
        <v>107</v>
      </c>
      <c r="B23" s="4" t="s">
        <v>128</v>
      </c>
      <c r="C23" s="4">
        <v>4</v>
      </c>
      <c r="D23" s="4">
        <v>1</v>
      </c>
      <c r="F23" s="5">
        <v>0</v>
      </c>
    </row>
    <row r="24" spans="1:6" x14ac:dyDescent="0.25">
      <c r="A24" s="5" t="s">
        <v>112</v>
      </c>
      <c r="B24" s="5" t="s">
        <v>174</v>
      </c>
      <c r="C24" s="5">
        <v>5</v>
      </c>
      <c r="D24" s="5">
        <v>1</v>
      </c>
      <c r="E24" s="5"/>
      <c r="F24" s="5">
        <v>1</v>
      </c>
    </row>
    <row r="25" spans="1:6" s="5" customFormat="1" x14ac:dyDescent="0.25">
      <c r="A25" s="4" t="s">
        <v>108</v>
      </c>
      <c r="B25" s="4"/>
      <c r="C25" s="4">
        <v>5</v>
      </c>
      <c r="D25" s="4">
        <v>10</v>
      </c>
      <c r="E25" s="4"/>
      <c r="F25" s="5">
        <v>0</v>
      </c>
    </row>
    <row r="26" spans="1:6" x14ac:dyDescent="0.25">
      <c r="A26" s="4" t="s">
        <v>50</v>
      </c>
      <c r="B26" s="4" t="s">
        <v>75</v>
      </c>
      <c r="C26" s="4">
        <v>6</v>
      </c>
      <c r="D26" s="4">
        <v>1</v>
      </c>
      <c r="F26" s="5">
        <v>0</v>
      </c>
    </row>
    <row r="27" spans="1:6" x14ac:dyDescent="0.25">
      <c r="A27" s="5" t="s">
        <v>103</v>
      </c>
      <c r="B27" s="5" t="s">
        <v>139</v>
      </c>
      <c r="C27" s="5">
        <v>6</v>
      </c>
      <c r="D27" s="5">
        <v>1</v>
      </c>
      <c r="E27" s="5"/>
      <c r="F27" s="5">
        <v>1</v>
      </c>
    </row>
    <row r="28" spans="1:6" x14ac:dyDescent="0.25">
      <c r="A28" s="4" t="s">
        <v>187</v>
      </c>
      <c r="B28" s="4" t="s">
        <v>83</v>
      </c>
      <c r="C28" s="4">
        <v>5</v>
      </c>
      <c r="D28" s="4">
        <v>1</v>
      </c>
      <c r="F28" s="5">
        <v>1</v>
      </c>
    </row>
    <row r="29" spans="1:6" x14ac:dyDescent="0.25">
      <c r="A29" s="4" t="s">
        <v>132</v>
      </c>
      <c r="B29" s="4" t="s">
        <v>136</v>
      </c>
      <c r="C29" s="4">
        <v>6</v>
      </c>
      <c r="D29" s="4">
        <v>1</v>
      </c>
      <c r="F29" s="5">
        <v>0</v>
      </c>
    </row>
    <row r="30" spans="1:6" x14ac:dyDescent="0.25">
      <c r="A30" s="4" t="s">
        <v>116</v>
      </c>
      <c r="B30" s="4" t="s">
        <v>170</v>
      </c>
      <c r="C30" s="4">
        <v>3</v>
      </c>
      <c r="D30" s="4">
        <v>1</v>
      </c>
      <c r="F30" s="5">
        <v>0</v>
      </c>
    </row>
    <row r="31" spans="1:6" x14ac:dyDescent="0.25">
      <c r="A31" s="4" t="s">
        <v>53</v>
      </c>
      <c r="B31" s="4" t="s">
        <v>135</v>
      </c>
      <c r="C31" s="4">
        <v>7</v>
      </c>
      <c r="D31" s="4">
        <v>1</v>
      </c>
      <c r="F31" s="5">
        <v>0</v>
      </c>
    </row>
    <row r="32" spans="1:6" x14ac:dyDescent="0.25">
      <c r="A32" s="4" t="s">
        <v>117</v>
      </c>
      <c r="B32" s="4" t="s">
        <v>122</v>
      </c>
      <c r="C32" s="4">
        <v>3</v>
      </c>
      <c r="D32" s="4">
        <v>1</v>
      </c>
      <c r="F32" s="5">
        <v>0</v>
      </c>
    </row>
    <row r="33" spans="1:6" s="6" customFormat="1" x14ac:dyDescent="0.25">
      <c r="A33" s="4" t="s">
        <v>124</v>
      </c>
      <c r="B33" s="4" t="s">
        <v>173</v>
      </c>
      <c r="C33" s="4">
        <v>4</v>
      </c>
      <c r="D33" s="4">
        <v>1</v>
      </c>
      <c r="E33" s="4"/>
      <c r="F33" s="5">
        <v>1</v>
      </c>
    </row>
    <row r="34" spans="1:6" x14ac:dyDescent="0.25">
      <c r="A34" s="6" t="s">
        <v>72</v>
      </c>
      <c r="B34" s="6" t="s">
        <v>73</v>
      </c>
      <c r="C34" s="6">
        <v>6</v>
      </c>
      <c r="D34" s="6">
        <v>1</v>
      </c>
      <c r="E34" s="6"/>
      <c r="F34" s="8">
        <v>0</v>
      </c>
    </row>
    <row r="35" spans="1:6" s="5" customFormat="1" x14ac:dyDescent="0.25">
      <c r="A35" s="4" t="s">
        <v>49</v>
      </c>
      <c r="B35" s="4" t="s">
        <v>74</v>
      </c>
      <c r="C35" s="4">
        <v>6</v>
      </c>
      <c r="D35" s="4">
        <v>1</v>
      </c>
      <c r="E35" s="4"/>
      <c r="F35" s="5">
        <v>0</v>
      </c>
    </row>
    <row r="36" spans="1:6" x14ac:dyDescent="0.25">
      <c r="A36" s="4" t="s">
        <v>138</v>
      </c>
      <c r="B36" s="4" t="s">
        <v>137</v>
      </c>
      <c r="C36" s="4">
        <v>6</v>
      </c>
      <c r="D36" s="4">
        <v>1</v>
      </c>
      <c r="F36" s="5">
        <v>0</v>
      </c>
    </row>
    <row r="37" spans="1:6" x14ac:dyDescent="0.25">
      <c r="A37" s="4" t="s">
        <v>189</v>
      </c>
      <c r="B37" s="4" t="s">
        <v>104</v>
      </c>
      <c r="C37" s="4">
        <v>7</v>
      </c>
      <c r="D37" s="4">
        <v>1</v>
      </c>
      <c r="F37" s="5">
        <v>0</v>
      </c>
    </row>
    <row r="38" spans="1:6" x14ac:dyDescent="0.25">
      <c r="A38" s="5" t="s">
        <v>171</v>
      </c>
      <c r="B38" s="5" t="s">
        <v>191</v>
      </c>
      <c r="C38" s="5">
        <v>3</v>
      </c>
      <c r="D38" s="5">
        <v>1</v>
      </c>
      <c r="E38" s="5"/>
      <c r="F38" s="5">
        <v>0</v>
      </c>
    </row>
    <row r="39" spans="1:6" x14ac:dyDescent="0.25">
      <c r="A39" s="4" t="s">
        <v>60</v>
      </c>
      <c r="B39" s="4" t="s">
        <v>106</v>
      </c>
      <c r="C39" s="4">
        <v>1</v>
      </c>
      <c r="D39" s="4">
        <v>1</v>
      </c>
      <c r="F39" s="4">
        <v>1</v>
      </c>
    </row>
    <row r="40" spans="1:6" x14ac:dyDescent="0.25">
      <c r="A40" s="4" t="s">
        <v>190</v>
      </c>
      <c r="B40" s="4" t="s">
        <v>105</v>
      </c>
      <c r="C40" s="4">
        <v>4</v>
      </c>
      <c r="D40" s="4">
        <v>1</v>
      </c>
      <c r="F40" s="5">
        <v>0</v>
      </c>
    </row>
    <row r="41" spans="1:6" x14ac:dyDescent="0.25">
      <c r="A41" s="4" t="s">
        <v>54</v>
      </c>
      <c r="B41" s="4" t="s">
        <v>55</v>
      </c>
      <c r="C41" s="4">
        <v>6</v>
      </c>
      <c r="D41" s="4">
        <v>1</v>
      </c>
      <c r="F41" s="5">
        <v>0</v>
      </c>
    </row>
    <row r="42" spans="1:6" x14ac:dyDescent="0.25">
      <c r="A42" s="4" t="s">
        <v>56</v>
      </c>
      <c r="B42" s="4" t="s">
        <v>57</v>
      </c>
      <c r="C42" s="4">
        <v>6</v>
      </c>
      <c r="D42" s="4">
        <v>1</v>
      </c>
      <c r="F42" s="5">
        <v>0</v>
      </c>
    </row>
    <row r="43" spans="1:6" x14ac:dyDescent="0.25">
      <c r="A43" s="4" t="s">
        <v>119</v>
      </c>
      <c r="B43" s="4" t="s">
        <v>192</v>
      </c>
      <c r="C43" s="4">
        <v>3</v>
      </c>
      <c r="D43" s="4">
        <v>1</v>
      </c>
      <c r="F43" s="4">
        <v>0</v>
      </c>
    </row>
    <row r="44" spans="1:6" x14ac:dyDescent="0.25">
      <c r="A44" s="4" t="s">
        <v>61</v>
      </c>
      <c r="B44" s="4" t="s">
        <v>65</v>
      </c>
      <c r="C44" s="4">
        <v>7</v>
      </c>
      <c r="D44" s="4">
        <v>1</v>
      </c>
      <c r="F44" s="5">
        <v>0</v>
      </c>
    </row>
    <row r="45" spans="1:6" x14ac:dyDescent="0.25">
      <c r="A45" s="4" t="s">
        <v>52</v>
      </c>
      <c r="B45" s="4" t="s">
        <v>87</v>
      </c>
      <c r="C45" s="4">
        <v>6</v>
      </c>
      <c r="D45" s="4">
        <v>1</v>
      </c>
      <c r="F45" s="5">
        <v>0</v>
      </c>
    </row>
    <row r="46" spans="1:6" x14ac:dyDescent="0.25">
      <c r="A46" s="4" t="s">
        <v>51</v>
      </c>
      <c r="B46" s="4" t="s">
        <v>65</v>
      </c>
      <c r="C46" s="4">
        <v>9</v>
      </c>
      <c r="D46" s="4">
        <v>1</v>
      </c>
      <c r="F46" s="5">
        <v>0</v>
      </c>
    </row>
  </sheetData>
  <sortState ref="A2:F46">
    <sortCondition ref="A1"/>
  </sortState>
  <pageMargins left="0.7" right="0.7" top="0.75" bottom="0.75" header="0.3" footer="0.3"/>
  <pageSetup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A2" sqref="A2"/>
    </sheetView>
  </sheetViews>
  <sheetFormatPr defaultRowHeight="15" x14ac:dyDescent="0.25"/>
  <cols>
    <col min="2" max="2" width="15.7109375" bestFit="1" customWidth="1"/>
  </cols>
  <sheetData>
    <row r="1" spans="1:6" s="9" customFormat="1" x14ac:dyDescent="0.25">
      <c r="A1" s="9" t="s">
        <v>3</v>
      </c>
      <c r="B1" s="9" t="s">
        <v>147</v>
      </c>
    </row>
    <row r="2" spans="1:6" x14ac:dyDescent="0.25">
      <c r="A2" t="s">
        <v>145</v>
      </c>
      <c r="B2" t="s">
        <v>13</v>
      </c>
    </row>
    <row r="3" spans="1:6" x14ac:dyDescent="0.25">
      <c r="A3" t="s">
        <v>146</v>
      </c>
      <c r="B3" t="s">
        <v>14</v>
      </c>
    </row>
    <row r="4" spans="1:6" x14ac:dyDescent="0.25">
      <c r="B4" t="s">
        <v>15</v>
      </c>
    </row>
    <row r="5" spans="1:6" x14ac:dyDescent="0.25">
      <c r="B5" t="s">
        <v>18</v>
      </c>
    </row>
    <row r="12" spans="1:6" x14ac:dyDescent="0.25">
      <c r="F12"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List</vt:lpstr>
      <vt:lpstr>Lore Cards</vt:lpstr>
      <vt:lpstr>Myth Cards</vt:lpstr>
      <vt:lpstr>Creatures</vt:lpstr>
      <vt:lpstr>Dropbox Values</vt:lpstr>
      <vt:lpstr>Card_Type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 Vasudevan</dc:creator>
  <cp:lastModifiedBy>Aashish Vasudevan</cp:lastModifiedBy>
  <dcterms:created xsi:type="dcterms:W3CDTF">2014-07-18T10:52:21Z</dcterms:created>
  <dcterms:modified xsi:type="dcterms:W3CDTF">2015-08-12T14:22:07Z</dcterms:modified>
</cp:coreProperties>
</file>